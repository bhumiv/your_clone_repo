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d14aef47feca7aa/Documents/"/>
    </mc:Choice>
  </mc:AlternateContent>
  <xr:revisionPtr revIDLastSave="0" documentId="14_{9CB51D07-78D3-4377-AE67-5C1ED347B323}" xr6:coauthVersionLast="47" xr6:coauthVersionMax="47" xr10:uidLastSave="{00000000-0000-0000-0000-000000000000}"/>
  <bookViews>
    <workbookView xWindow="0" yWindow="0" windowWidth="28800" windowHeight="156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<sst xmlns="http://schemas.openxmlformats.org/spreadsheetml/2006/main" count="405" uniqueCount="182">
  <si>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</si>
  <si>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</si>
  <si>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</si>
  <si>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</si>
  <si>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</si>
  <si>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</si>
  <si>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</si>
  <si>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</si>
  <si>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</si>
  <si>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</si>
  <si>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</si>
  <si>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</si>
  <si>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</si>
  <si>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</si>
  <si>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</si>
  <si>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</si>
  <si>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</si>
  <si>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</si>
  <si>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</si>
  <si>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</si>
  <si>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</si>
  <si>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</si>
  <si>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</si>
  <si>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</si>
  <si>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</si>
  <si>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</si>
  <si>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</si>
  <si>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</si>
  <si>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</si>
  <si>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</si>
  <si>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</si>
  <si>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</si>
  <si>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</si>
  <si>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</si>
  <si>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</si>
  <si>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</si>
  <si>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</si>
  <si>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</si>
  <si>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</si>
  <si>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</si>
  <si>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</si>
  <si>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</si>
  <si>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</si>
  <si>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</si>
  <si>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</si>
  <si>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</si>
  <si>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</si>
  <si>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</si>
  <si>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</si>
  <si>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</si>
  <si>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</si>
  <si>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</si>
  <si>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</si>
  <si>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</si>
  <si>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</si>
  <si>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</si>
  <si>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</si>
  <si>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</si>
  <si>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</si>
  <si>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</si>
  <si>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</si>
  <si>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</si>
  <si>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</si>
  <si>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</si>
  <si>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</si>
  <si>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</si>
  <si>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</si>
  <si>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</si>
  <si>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</si>
  <si>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</si>
  <si>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</si>
  <si>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</si>
  <si>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</si>
  <si>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</si>
  <si>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</si>
  <si>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</si>
  <si>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</si>
  <si>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</si>
  <si>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</si>
  <si>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</si>
  <si>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</si>
  <si>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</si>
  <si>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</si>
  <si>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</si>
  <si>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</si>
  <si>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</si>
  <si>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</si>
  <si>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</si>
  <si>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</si>
  <si>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</si>
  <si>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</si>
  <si>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</si>
  <si>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</si>
  <si>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</si>
  <si>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</si>
  <si>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</si>
  <si>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</si>
  <si>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</si>
  <si>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</si>
  <si>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</si>
  <si>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</si>
  <si>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</si>
  <si>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</si>
  <si>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</si>
  <si>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</si>
  <si>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</si>
  <si>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</si>
  <si>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</si>
  <si>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</si>
  <si>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</si>
  <si>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</si>
  <si>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</si>
  <si>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</si>
  <si>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</si>
  <si>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</si>
  <si>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</si>
  <si>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</si>
  <si>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</si>
  <si>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</si>
  <si>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</si>
  <si>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</si>
  <si>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</si>
  <si>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</si>
  <si>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</si>
  <si>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</si>
  <si>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</si>
  <si>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</si>
  <si>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</si>
  <si>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</si>
  <si>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</si>
  <si>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</si>
  <si>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</si>
  <si>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</si>
  <si>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</si>
  <si>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</si>
  <si>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</si>
  <si>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</si>
  <si>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</si>
  <si>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</si>
  <si>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</si>
  <si>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</si>
  <si>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</si>
  <si>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</si>
  <si>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</si>
  <si>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</si>
  <si>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</si>
  <si>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</si>
  <si>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</si>
  <si>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</si>
  <si>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</si>
  <si>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</si>
  <si>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</si>
  <si>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</si>
  <si>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</si>
  <si>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</si>
  <si>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</si>
  <si>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</si>
  <si>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</si>
  <si>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</si>
  <si>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</si>
  <si>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</si>
  <si>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</si>
  <si>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</si>
  <si>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</si>
  <si>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</si>
  <si>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</si>
  <si>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</si>
  <si>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</si>
  <si>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</si>
  <si>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</si>
  <si>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</si>
  <si>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</si>
  <si>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</si>
  <si>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</si>
  <si>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</si>
  <si>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</si>
  <si>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</si>
  <si>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</si>
  <si>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we used "Text to columns" which is a built in feature of excel</t>
  </si>
  <si>
    <t>By using this feature, we can split the text into different columns by delimeter or else fixed with . In our case the delimeter is "-"</t>
  </si>
  <si>
    <t>Using  find and replace function which is in-built in Excel.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</si>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</sst>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2" fontId="3" fillId="5" borderId="1" xfId="0" applyNumberFormat="1" applyFont="1" applyFill="1" applyBorder="1"/>
    <xf numFmtId="0" fontId="18" fillId="6" borderId="0" xfId="0" applyFont="1" applyFill="1" applyAlignment="1">
      <alignment horizontal="center" wrapText="1"/>
    </xf>
    <xf numFmtId="0" fontId="15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  <xf numFmtId="0" fontId="3" fillId="0" borderId="0" xfId="0" applyFont="1" applyBorder="1"/>
    <xf numFmtId="0" fontId="8" fillId="0" borderId="0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9"/>
        </patternFill>
      </fill>
    </dxf>
    <dxf>
      <fill>
        <patternFill>
          <bgColor rgb="FFFF505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8"/>
      <tableStyleElement type="headerRow" dxfId="27"/>
    </tableStyle>
  </tableStyles>
  <colors>
    <mruColors>
      <color rgb="FFFF5050"/>
      <color rgb="FFFFFFFF"/>
      <color rgb="FFFF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806BC3-F1A1-4E28-AF6D-EAB54CD47768}" name="Table_A" displayName="Table_A" ref="A9:J18" totalsRowShown="0" headerRowDxfId="10" dataDxfId="11" headerRowBorderDxfId="23" tableBorderDxfId="24" totalsRowBorderDxfId="22">
  <autoFilter ref="A9:J18" xr:uid="{4D806BC3-F1A1-4E28-AF6D-EAB54CD47768}"/>
  <tableColumns count="10">
    <tableColumn id="1" xr3:uid="{E6C2C429-E7D4-4526-B534-685BB245372B}" name="Column1" dataDxfId="21"/>
    <tableColumn id="2" xr3:uid="{88621252-41AF-478F-BC57-C71FC46AFE8D}" name="A" dataDxfId="20"/>
    <tableColumn id="3" xr3:uid="{A57083FC-4315-482C-B29A-1B946E4DF4B4}" name="B" dataDxfId="19"/>
    <tableColumn id="4" xr3:uid="{39EBBDBE-6055-488D-AFAB-F8911E6D0D18}" name="C" dataDxfId="18"/>
    <tableColumn id="5" xr3:uid="{5CD0A372-DE2E-4249-87B9-AAEEBA5B7320}" name="D" dataDxfId="17"/>
    <tableColumn id="6" xr3:uid="{32C94F34-23F5-49DC-86AE-DDA06A6E71D5}" name="E" dataDxfId="16"/>
    <tableColumn id="7" xr3:uid="{62A37C3B-51ED-4839-B0AE-E310C3BF9A44}" name="F" dataDxfId="15"/>
    <tableColumn id="8" xr3:uid="{AC19A693-B26D-4C0E-864C-8C4A7AA4A17D}" name="G" dataDxfId="14"/>
    <tableColumn id="9" xr3:uid="{5A04F81D-2A62-4BE0-A587-43F41AD5798B}" name="H" dataDxfId="13"/>
    <tableColumn id="10" xr3:uid="{C133B040-066C-4CC7-BADD-F9E989C66789}" name="I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71B0DE-632A-4F25-910C-A98721656F2B}" name="Table_B" displayName="Table_B" ref="M9:N18" totalsRowShown="0" headerRowDxfId="5" headerRowBorderDxfId="8" tableBorderDxfId="9">
  <autoFilter ref="M9:N18" xr:uid="{5E71B0DE-632A-4F25-910C-A98721656F2B}"/>
  <tableColumns count="2">
    <tableColumn id="1" xr3:uid="{049C7B44-AFD5-422F-B37A-529AFEE3B70B}" name="ID" dataDxfId="7"/>
    <tableColumn id="2" xr3:uid="{46F31A8D-B6E4-4642-9BED-BCF50796706B}" name="Nam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3D40A99-5ACE-4219-B0FB-73A165102C65}" name="Table_C" displayName="Table_C" ref="A22:C35" totalsRowShown="0" headerRowBorderDxfId="3" tableBorderDxfId="4">
  <autoFilter ref="A22:C35" xr:uid="{53D40A99-5ACE-4219-B0FB-73A165102C65}"/>
  <tableColumns count="3">
    <tableColumn id="1" xr3:uid="{554B8941-0287-4CA5-BE91-C08D800538F4}" name="name_1" dataDxfId="2"/>
    <tableColumn id="2" xr3:uid="{5B83BEEF-FDE8-4610-8B8D-C7F0C13E9BED}" name="name_2" dataDxfId="1"/>
    <tableColumn id="3" xr3:uid="{8F0F4936-DC9E-4F75-A793-882B4727C5F1}" name="value" dataDxfId="0">
      <calculatedColumnFormula>VLOOKUP(Table_C[[#This Row],[name_1]], Table_A[], MATCH(Table_C[[#This Row],[name_2]], Table_A[#Headers], 0), 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E1" zoomScaleNormal="100" workbookViewId="0">
      <pane ySplit="1" topLeftCell="A2" activePane="bottomLeft" state="frozen"/>
      <selection activeCell="C1" sqref="C1"/>
      <selection pane="bottomLeft" activeCell="V2" sqref="V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4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25">
      <c r="H41" s="1">
        <f>SUMIF(H2:H40,"&gt;20")</f>
        <v>1473.0000000000002</v>
      </c>
    </row>
  </sheetData>
  <conditionalFormatting sqref="G2:W40">
    <cfRule type="cellIs" dxfId="26" priority="2" operator="equal">
      <formula>-1</formula>
    </cfRule>
    <cfRule type="cellIs" dxfId="25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9" sqref="D19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177</v>
      </c>
      <c r="D5" s="1">
        <v>1473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33" sqref="D33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2">
        <f>VLOOKUP($A6,Dataset!A2:X40,7,FALSE)</f>
        <v>2.7</v>
      </c>
      <c r="C6" s="12">
        <f>VLOOKUP($A6,Dataset!A2:X40,14,FALSE)</f>
        <v>7.6</v>
      </c>
      <c r="D6" s="12">
        <f>VLOOKUP($A6,Dataset!A2:X40,18,FALSE)</f>
        <v>4.2</v>
      </c>
      <c r="E6" s="12">
        <f>VLOOKUP($A6,Dataset!A2:X40,20,FALSE)</f>
        <v>8.9</v>
      </c>
      <c r="F6" s="8">
        <f>VLOOKUP($A6,Dataset!A2:X40,22,FALSE)</f>
        <v>4.2</v>
      </c>
    </row>
    <row r="7" spans="1:7" ht="15" x14ac:dyDescent="0.25">
      <c r="A7" s="7" t="s">
        <v>4</v>
      </c>
      <c r="B7" s="12">
        <f>VLOOKUP(A7,Dataset!A3:X41,7,FALSE)</f>
        <v>2.7</v>
      </c>
      <c r="C7" s="12">
        <f>VLOOKUP($A7,Dataset!A3:X41,14,FALSE)</f>
        <v>7.6</v>
      </c>
      <c r="D7" s="12">
        <f>VLOOKUP($A7,Dataset!A3:X41,18,FALSE)</f>
        <v>4.2</v>
      </c>
      <c r="E7" s="12">
        <f>VLOOKUP($A7,Dataset!A3:X41,20,FALSE)</f>
        <v>8.9</v>
      </c>
      <c r="F7" s="8">
        <f>VLOOKUP($A7,Dataset!A3:X41,22,FALSE)</f>
        <v>4.2</v>
      </c>
    </row>
    <row r="8" spans="1:7" ht="15" x14ac:dyDescent="0.25">
      <c r="A8" s="7" t="s">
        <v>7</v>
      </c>
      <c r="B8" s="12">
        <f>VLOOKUP(A8,Dataset!A4:X42,7,FALSE)</f>
        <v>3.6</v>
      </c>
      <c r="C8" s="12">
        <f>VLOOKUP($A8,Dataset!A4:X42,14,FALSE)</f>
        <v>11.1</v>
      </c>
      <c r="D8" s="12">
        <f>VLOOKUP($A8,Dataset!A4:X42,18,FALSE)</f>
        <v>5.8</v>
      </c>
      <c r="E8" s="12">
        <f>VLOOKUP($A8,Dataset!A4:X42,20,FALSE)</f>
        <v>12.2</v>
      </c>
      <c r="F8" s="8">
        <f>VLOOKUP($A8,Dataset!A4:X42,22,FALSE)</f>
        <v>5.8</v>
      </c>
    </row>
    <row r="9" spans="1:7" ht="15" x14ac:dyDescent="0.25">
      <c r="A9" s="7" t="s">
        <v>8</v>
      </c>
      <c r="B9" s="12">
        <f>VLOOKUP(A9,Dataset!A5:X43,7,FALSE)</f>
        <v>4.9000000000000004</v>
      </c>
      <c r="C9" s="12">
        <f>VLOOKUP($A9,Dataset!A5:X43,14,FALSE)</f>
        <v>13.3</v>
      </c>
      <c r="D9" s="12">
        <f>VLOOKUP($A9,Dataset!A5:X43,18,FALSE)</f>
        <v>8.1</v>
      </c>
      <c r="E9" s="12">
        <f>VLOOKUP($A9,Dataset!A5:X43,20,FALSE)</f>
        <v>17</v>
      </c>
      <c r="F9" s="8">
        <f>VLOOKUP($A9,Dataset!A5:X43,22,FALSE)</f>
        <v>8.1</v>
      </c>
    </row>
    <row r="10" spans="1:7" ht="15" x14ac:dyDescent="0.25">
      <c r="A10" s="7" t="s">
        <v>11</v>
      </c>
      <c r="B10" s="12">
        <f>VLOOKUP(A10,Dataset!A6:X44,7,FALSE)</f>
        <v>9.4</v>
      </c>
      <c r="C10" s="12">
        <f>VLOOKUP($A10,Dataset!A6:X44,14,FALSE)</f>
        <v>28.3</v>
      </c>
      <c r="D10" s="12">
        <f>VLOOKUP($A10,Dataset!A6:X44,18,FALSE)</f>
        <v>16.100000000000001</v>
      </c>
      <c r="E10" s="12">
        <f>VLOOKUP($A10,Dataset!A6:X44,20,FALSE)</f>
        <v>32.799999999999997</v>
      </c>
      <c r="F10" s="8">
        <f>VLOOKUP($A10,Dataset!A6:X44,22,FALSE)</f>
        <v>16.100000000000001</v>
      </c>
    </row>
    <row r="11" spans="1:7" ht="15" x14ac:dyDescent="0.25">
      <c r="A11" s="7" t="s">
        <v>12</v>
      </c>
      <c r="B11" s="12">
        <f>VLOOKUP(A11,Dataset!A7:X45,7,FALSE)</f>
        <v>11.6</v>
      </c>
      <c r="C11" s="12">
        <f>VLOOKUP($A11,Dataset!A7:X45,14,FALSE)</f>
        <v>35.200000000000003</v>
      </c>
      <c r="D11" s="12">
        <f>VLOOKUP($A11,Dataset!A7:X45,18,FALSE)</f>
        <v>21.3</v>
      </c>
      <c r="E11" s="12">
        <f>VLOOKUP($A11,Dataset!A7:X45,20,FALSE)</f>
        <v>43</v>
      </c>
      <c r="F11" s="8">
        <f>VLOOKUP($A11,Dataset!A7:X45,22,FALSE)</f>
        <v>21.3</v>
      </c>
    </row>
    <row r="12" spans="1:7" ht="15" x14ac:dyDescent="0.25">
      <c r="A12" s="7" t="s">
        <v>14</v>
      </c>
      <c r="B12" s="12">
        <f>VLOOKUP(A12,Dataset!A8:X46,7,FALSE)</f>
        <v>18.399999999999999</v>
      </c>
      <c r="C12" s="12">
        <f>VLOOKUP($A12,Dataset!A8:X46,14,FALSE)</f>
        <v>55.6</v>
      </c>
      <c r="D12" s="12">
        <f>VLOOKUP($A12,Dataset!A8:X46,18,FALSE)</f>
        <v>33.799999999999997</v>
      </c>
      <c r="E12" s="12">
        <f>VLOOKUP($A12,Dataset!A8:X46,20,FALSE)</f>
        <v>67.900000000000006</v>
      </c>
      <c r="F12" s="8">
        <f>VLOOKUP($A12,Dataset!A8:X46,22,FALSE)</f>
        <v>33.799999999999997</v>
      </c>
    </row>
    <row r="13" spans="1:7" ht="15" x14ac:dyDescent="0.25">
      <c r="A13" s="7" t="s">
        <v>15</v>
      </c>
      <c r="B13" s="12">
        <f>VLOOKUP(A13,Dataset!A9:X47,7,FALSE)</f>
        <v>0</v>
      </c>
      <c r="C13" s="12">
        <f>VLOOKUP($A13,Dataset!A9:X47,14,FALSE)</f>
        <v>0</v>
      </c>
      <c r="D13" s="12">
        <f>VLOOKUP($A13,Dataset!A9:X47,18,FALSE)</f>
        <v>0</v>
      </c>
      <c r="E13" s="12">
        <f>VLOOKUP($A13,Dataset!A9:X47,20,FALSE)</f>
        <v>0</v>
      </c>
      <c r="F13" s="8">
        <f>VLOOKUP($A13,Dataset!A9:X47,22,FALSE)</f>
        <v>0</v>
      </c>
    </row>
    <row r="14" spans="1:7" ht="15" x14ac:dyDescent="0.25">
      <c r="A14" s="7" t="s">
        <v>16</v>
      </c>
      <c r="B14" s="12">
        <f>VLOOKUP(A14,Dataset!A10:X48,7,FALSE)</f>
        <v>21.9</v>
      </c>
      <c r="C14" s="12">
        <f>VLOOKUP($A14,Dataset!A10:X48,14,FALSE)</f>
        <v>61.5</v>
      </c>
      <c r="D14" s="12">
        <f>VLOOKUP($A14,Dataset!A10:X48,18,FALSE)</f>
        <v>40.1</v>
      </c>
      <c r="E14" s="12">
        <f>VLOOKUP($A14,Dataset!A10:X48,20,FALSE)</f>
        <v>76.599999999999994</v>
      </c>
      <c r="F14" s="8">
        <f>VLOOKUP($A14,Dataset!A10:X48,22,FALSE)</f>
        <v>40.1</v>
      </c>
    </row>
    <row r="15" spans="1:7" ht="15" x14ac:dyDescent="0.25">
      <c r="A15" s="7" t="s">
        <v>18</v>
      </c>
      <c r="B15" s="12">
        <f>VLOOKUP(A15,Dataset!A11:X49,7,FALSE)</f>
        <v>26.8</v>
      </c>
      <c r="C15" s="12">
        <f>VLOOKUP($A15,Dataset!A11:X49,14,FALSE)</f>
        <v>79.599999999999994</v>
      </c>
      <c r="D15" s="12">
        <f>VLOOKUP($A15,Dataset!A11:X49,18,FALSE)</f>
        <v>47.9</v>
      </c>
      <c r="E15" s="12">
        <f>VLOOKUP($A15,Dataset!A11:X49,20,FALSE)</f>
        <v>96.8</v>
      </c>
      <c r="F15" s="8">
        <f>VLOOKUP($A15,Dataset!A11:X49,22,FALSE)</f>
        <v>47.9</v>
      </c>
    </row>
    <row r="16" spans="1:7" ht="15" x14ac:dyDescent="0.25">
      <c r="A16" s="7" t="s">
        <v>20</v>
      </c>
      <c r="B16" s="12">
        <f>VLOOKUP(A16,Dataset!A12:X50,7,FALSE)</f>
        <v>28.5</v>
      </c>
      <c r="C16" s="12">
        <f>VLOOKUP($A16,Dataset!A12:X50,14,FALSE)</f>
        <v>85.4</v>
      </c>
      <c r="D16" s="12">
        <f>VLOOKUP($A16,Dataset!A12:X50,18,FALSE)</f>
        <v>52.3</v>
      </c>
      <c r="E16" s="12">
        <f>VLOOKUP($A16,Dataset!A12:X50,20,FALSE)</f>
        <v>106.1</v>
      </c>
      <c r="F16" s="8">
        <f>VLOOKUP($A16,Dataset!A12:X50,22,FALSE)</f>
        <v>52.3</v>
      </c>
    </row>
    <row r="17" spans="1:6" ht="15" x14ac:dyDescent="0.25">
      <c r="A17" s="7" t="s">
        <v>22</v>
      </c>
      <c r="B17" s="12">
        <f>VLOOKUP(A17,Dataset!A13:X51,7,FALSE)</f>
        <v>30.7</v>
      </c>
      <c r="C17" s="12">
        <f>VLOOKUP($A17,Dataset!A13:X51,14,FALSE)</f>
        <v>92.1</v>
      </c>
      <c r="D17" s="12">
        <f>VLOOKUP($A17,Dataset!A13:X51,18,FALSE)</f>
        <v>57</v>
      </c>
      <c r="E17" s="12">
        <f>VLOOKUP($A17,Dataset!A13:X51,20,FALSE)</f>
        <v>115.1</v>
      </c>
      <c r="F17" s="8">
        <f>VLOOKUP($A17,Dataset!A13:X51,22,FALSE)</f>
        <v>57</v>
      </c>
    </row>
    <row r="18" spans="1:6" ht="15" x14ac:dyDescent="0.25">
      <c r="A18" s="7" t="s">
        <v>23</v>
      </c>
      <c r="B18" s="12">
        <f>VLOOKUP(A18,Dataset!A14:X52,7,FALSE)</f>
        <v>33.799999999999997</v>
      </c>
      <c r="C18" s="12">
        <f>VLOOKUP($A18,Dataset!A14:X52,14,FALSE)</f>
        <v>101.3</v>
      </c>
      <c r="D18" s="12">
        <f>VLOOKUP($A18,Dataset!A14:X52,18,FALSE)</f>
        <v>61.4</v>
      </c>
      <c r="E18" s="12">
        <f>VLOOKUP($A18,Dataset!A14:X52,20,FALSE)</f>
        <v>124.4</v>
      </c>
      <c r="F18" s="8">
        <f>VLOOKUP($A18,Dataset!A14:X52,22,FALSE)</f>
        <v>61.4</v>
      </c>
    </row>
    <row r="19" spans="1:6" ht="15" x14ac:dyDescent="0.25">
      <c r="A19" s="7" t="s">
        <v>24</v>
      </c>
      <c r="B19" s="12">
        <f>VLOOKUP(A19,Dataset!A15:X53,7,FALSE)</f>
        <v>34.700000000000003</v>
      </c>
      <c r="C19" s="12">
        <f>VLOOKUP($A19,Dataset!A15:X53,14,FALSE)</f>
        <v>106.1</v>
      </c>
      <c r="D19" s="12">
        <f>VLOOKUP($A19,Dataset!A15:X53,18,FALSE)</f>
        <v>63.6</v>
      </c>
      <c r="E19" s="12">
        <f>VLOOKUP($A19,Dataset!A15:X53,20,FALSE)</f>
        <v>128.6</v>
      </c>
      <c r="F19" s="8">
        <f>VLOOKUP($A19,Dataset!A15:X53,22,FALSE)</f>
        <v>63.6</v>
      </c>
    </row>
    <row r="20" spans="1:6" ht="15" x14ac:dyDescent="0.25">
      <c r="A20" s="7" t="s">
        <v>28</v>
      </c>
      <c r="B20" s="12">
        <f>VLOOKUP(A20,Dataset!A16:X54,7,FALSE)</f>
        <v>0</v>
      </c>
      <c r="C20" s="12">
        <f>VLOOKUP($A20,Dataset!A16:X54,14,FALSE)</f>
        <v>0</v>
      </c>
      <c r="D20" s="12">
        <f>VLOOKUP($A20,Dataset!A16:X54,18,FALSE)</f>
        <v>0</v>
      </c>
      <c r="E20" s="12">
        <f>VLOOKUP($A20,Dataset!A16:X54,20,FALSE)</f>
        <v>0</v>
      </c>
      <c r="F20" s="8">
        <f>VLOOKUP($A20,Dataset!A16:X54,22,FALSE)</f>
        <v>0</v>
      </c>
    </row>
    <row r="21" spans="1:6" ht="15" x14ac:dyDescent="0.25">
      <c r="A21" s="7" t="s">
        <v>57</v>
      </c>
      <c r="B21" s="12">
        <f>VLOOKUP(A21,Dataset!A17:X55,7,FALSE)</f>
        <v>41.3</v>
      </c>
      <c r="C21" s="12">
        <f>VLOOKUP($A21,Dataset!A17:X55,14,FALSE)</f>
        <v>124.4</v>
      </c>
      <c r="D21" s="12">
        <f>VLOOKUP($A21,Dataset!A17:X55,18,FALSE)</f>
        <v>75</v>
      </c>
      <c r="E21" s="12">
        <f>VLOOKUP($A21,Dataset!A17:X55,20,FALSE)</f>
        <v>151.5</v>
      </c>
      <c r="F21" s="8">
        <f>VLOOKUP($A21,Dataset!A17:X55,22,FALSE)</f>
        <v>75</v>
      </c>
    </row>
    <row r="22" spans="1:6" ht="15" x14ac:dyDescent="0.25">
      <c r="A22" s="7" t="s">
        <v>58</v>
      </c>
      <c r="B22" s="12">
        <f>VLOOKUP(A22,Dataset!A18:X56,7,FALSE)</f>
        <v>-1</v>
      </c>
      <c r="C22" s="12">
        <f>VLOOKUP($A22,Dataset!A18:X56,14,FALSE)</f>
        <v>-1</v>
      </c>
      <c r="D22" s="12">
        <f>VLOOKUP($A22,Dataset!A18:X56,18,FALSE)</f>
        <v>-1</v>
      </c>
      <c r="E22" s="12">
        <f>VLOOKUP($A22,Dataset!A18:X56,20,FALSE)</f>
        <v>-1</v>
      </c>
      <c r="F22" s="8">
        <f>VLOOKUP($A22,Dataset!A18:X56,22,FALSE)</f>
        <v>-1</v>
      </c>
    </row>
    <row r="23" spans="1:6" ht="15" x14ac:dyDescent="0.25">
      <c r="A23" s="7" t="s">
        <v>31</v>
      </c>
      <c r="B23" s="12">
        <f>VLOOKUP(A23,Dataset!A19:X57,7,FALSE)</f>
        <v>45</v>
      </c>
      <c r="C23" s="12">
        <f>VLOOKUP($A23,Dataset!A19:X57,14,FALSE)</f>
        <v>133.4</v>
      </c>
      <c r="D23" s="12">
        <f>VLOOKUP($A23,Dataset!A19:X57,18,FALSE)</f>
        <v>79.400000000000006</v>
      </c>
      <c r="E23" s="12">
        <f>VLOOKUP($A23,Dataset!A19:X57,20,FALSE)</f>
        <v>160.9</v>
      </c>
      <c r="F23" s="8">
        <f>VLOOKUP($A23,Dataset!A19:X57,22,FALSE)</f>
        <v>79.400000000000006</v>
      </c>
    </row>
    <row r="24" spans="1:6" ht="15" x14ac:dyDescent="0.25">
      <c r="A24" s="7" t="s">
        <v>32</v>
      </c>
      <c r="B24" s="12">
        <f>VLOOKUP(A24,Dataset!A20:X58,7,FALSE)</f>
        <v>-1</v>
      </c>
      <c r="C24" s="12">
        <f>VLOOKUP($A24,Dataset!A20:X58,14,FALSE)</f>
        <v>-1</v>
      </c>
      <c r="D24" s="12">
        <f>VLOOKUP($A24,Dataset!A20:X58,18,FALSE)</f>
        <v>-1</v>
      </c>
      <c r="E24" s="12">
        <f>VLOOKUP($A24,Dataset!A20:X58,20,FALSE)</f>
        <v>-1</v>
      </c>
      <c r="F24" s="8">
        <f>VLOOKUP($A24,Dataset!A20:X58,22,FALSE)</f>
        <v>-1</v>
      </c>
    </row>
    <row r="25" spans="1:6" ht="15" x14ac:dyDescent="0.25">
      <c r="A25" s="7" t="s">
        <v>34</v>
      </c>
      <c r="B25" s="12">
        <f>VLOOKUP(A25,Dataset!A21:X59,7,FALSE)</f>
        <v>43.3</v>
      </c>
      <c r="C25" s="12">
        <f>VLOOKUP($A25,Dataset!A21:X59,14,FALSE)</f>
        <v>128.6</v>
      </c>
      <c r="D25" s="12">
        <f>VLOOKUP($A25,Dataset!A21:X59,18,FALSE)</f>
        <v>79.400000000000006</v>
      </c>
      <c r="E25" s="12">
        <f>VLOOKUP($A25,Dataset!A21:X59,20,FALSE)</f>
        <v>160.9</v>
      </c>
      <c r="F25" s="8">
        <f>VLOOKUP($A25,Dataset!A21:X59,22,FALSE)</f>
        <v>79.400000000000006</v>
      </c>
    </row>
    <row r="26" spans="1:6" ht="15" x14ac:dyDescent="0.25">
      <c r="A26" s="7" t="s">
        <v>37</v>
      </c>
      <c r="B26" s="12">
        <f>VLOOKUP(A26,Dataset!A22:X60,7,FALSE)</f>
        <v>49.1</v>
      </c>
      <c r="C26" s="12">
        <f>VLOOKUP($A26,Dataset!A22:X60,14,FALSE)</f>
        <v>146.80000000000001</v>
      </c>
      <c r="D26" s="12">
        <f>VLOOKUP($A26,Dataset!A22:X60,18,FALSE)</f>
        <v>90.9</v>
      </c>
      <c r="E26" s="12">
        <f>VLOOKUP($A26,Dataset!A22:X60,20,FALSE)</f>
        <v>183.5</v>
      </c>
      <c r="F26" s="8">
        <f>VLOOKUP($A26,Dataset!A22:X60,22,FALSE)</f>
        <v>90.9</v>
      </c>
    </row>
    <row r="27" spans="1:6" ht="15" x14ac:dyDescent="0.25">
      <c r="A27" s="7" t="s">
        <v>39</v>
      </c>
      <c r="B27" s="12">
        <f>VLOOKUP(A27,Dataset!A23:X61,7,FALSE)</f>
        <v>51.8</v>
      </c>
      <c r="C27" s="12">
        <f>VLOOKUP($A27,Dataset!A23:X61,14,FALSE)</f>
        <v>156.4</v>
      </c>
      <c r="D27" s="12">
        <f>VLOOKUP($A27,Dataset!A23:X61,18,FALSE)</f>
        <v>93.1</v>
      </c>
      <c r="E27" s="12">
        <f>VLOOKUP($A27,Dataset!A23:X61,20,FALSE)</f>
        <v>188.1</v>
      </c>
      <c r="F27" s="8">
        <f>VLOOKUP($A27,Dataset!A23:X61,22,FALSE)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45">
        <f>AVERAGE(B6:B27)</f>
        <v>20.827272727272728</v>
      </c>
      <c r="C30" s="45">
        <f t="shared" ref="C30:F30" si="2">AVERAGE(C6:C27)</f>
        <v>62.377272727272725</v>
      </c>
      <c r="D30" s="45">
        <f t="shared" si="2"/>
        <v>37.800000000000004</v>
      </c>
      <c r="E30" s="45">
        <f t="shared" si="2"/>
        <v>76.418181818181822</v>
      </c>
      <c r="F30" s="45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O54"/>
  <sheetViews>
    <sheetView topLeftCell="A25" zoomScaleNormal="100" workbookViewId="0">
      <selection activeCell="B5" sqref="B5:J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5" s="40" customFormat="1" ht="21" x14ac:dyDescent="0.35">
      <c r="A1" s="41" t="s">
        <v>56</v>
      </c>
      <c r="B1" s="40" t="s">
        <v>174</v>
      </c>
    </row>
    <row r="2" spans="1:15" customFormat="1" ht="12.75" x14ac:dyDescent="0.2"/>
    <row r="3" spans="1:15" s="2" customFormat="1" x14ac:dyDescent="0.25">
      <c r="B3" s="1"/>
    </row>
    <row r="4" spans="1:15" s="2" customFormat="1" x14ac:dyDescent="0.25">
      <c r="B4" s="1" t="s">
        <v>151</v>
      </c>
    </row>
    <row r="5" spans="1:15" ht="18.75" x14ac:dyDescent="0.3">
      <c r="A5" s="42" t="s">
        <v>53</v>
      </c>
      <c r="B5" s="47" t="s">
        <v>178</v>
      </c>
      <c r="C5" s="47"/>
      <c r="D5" s="47"/>
      <c r="E5" s="47"/>
      <c r="F5" s="47"/>
      <c r="G5" s="47"/>
      <c r="H5" s="47"/>
      <c r="I5" s="47"/>
      <c r="J5" s="47"/>
    </row>
    <row r="6" spans="1:15" ht="18.75" x14ac:dyDescent="0.3">
      <c r="A6" s="42" t="s">
        <v>153</v>
      </c>
      <c r="B6" s="46" t="s">
        <v>179</v>
      </c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</row>
    <row r="7" spans="1:15" ht="18.75" x14ac:dyDescent="0.3">
      <c r="A7" s="42"/>
      <c r="B7" s="39"/>
    </row>
    <row r="9" spans="1:15" ht="23.25" x14ac:dyDescent="0.35">
      <c r="A9" s="17" t="s">
        <v>165</v>
      </c>
      <c r="I9" s="2"/>
      <c r="J9" s="2"/>
    </row>
    <row r="10" spans="1:15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5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5" ht="23.25" x14ac:dyDescent="0.35">
      <c r="A14" s="17" t="s">
        <v>162</v>
      </c>
    </row>
    <row r="15" spans="1:15" x14ac:dyDescent="0.25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5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2">
    <mergeCell ref="B5:J5"/>
    <mergeCell ref="B6:O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M22"/>
  <sheetViews>
    <sheetView zoomScaleNormal="100" workbookViewId="0">
      <selection activeCell="B7" sqref="B7:M7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3" ht="21" x14ac:dyDescent="0.35">
      <c r="A1" s="41" t="s">
        <v>85</v>
      </c>
      <c r="B1" s="40" t="s">
        <v>167</v>
      </c>
    </row>
    <row r="2" spans="1:13" ht="18.75" x14ac:dyDescent="0.3">
      <c r="B2" s="39" t="s">
        <v>166</v>
      </c>
    </row>
    <row r="5" spans="1:13" ht="15" x14ac:dyDescent="0.25">
      <c r="B5" s="1" t="s">
        <v>151</v>
      </c>
    </row>
    <row r="6" spans="1:13" ht="15" x14ac:dyDescent="0.25">
      <c r="A6" s="3" t="s">
        <v>53</v>
      </c>
      <c r="B6" s="48" t="s">
        <v>180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</row>
    <row r="7" spans="1:13" ht="15" x14ac:dyDescent="0.25">
      <c r="A7" s="3" t="s">
        <v>153</v>
      </c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</row>
    <row r="10" spans="1:13" ht="23.25" x14ac:dyDescent="0.35">
      <c r="A10" s="17" t="s">
        <v>162</v>
      </c>
    </row>
    <row r="11" spans="1:13" ht="15" x14ac:dyDescent="0.25">
      <c r="A11" s="31" t="s">
        <v>86</v>
      </c>
      <c r="B11" s="16" t="s">
        <v>87</v>
      </c>
      <c r="C11" s="16" t="s">
        <v>88</v>
      </c>
    </row>
    <row r="12" spans="1:13" ht="15" x14ac:dyDescent="0.25">
      <c r="A12" s="31">
        <v>44927</v>
      </c>
      <c r="B12" s="16" t="s">
        <v>59</v>
      </c>
      <c r="C12" s="16">
        <v>200</v>
      </c>
    </row>
    <row r="13" spans="1:13" ht="15" x14ac:dyDescent="0.25">
      <c r="A13" s="31">
        <v>44928</v>
      </c>
      <c r="B13" s="16" t="s">
        <v>60</v>
      </c>
      <c r="C13" s="16">
        <v>20</v>
      </c>
    </row>
    <row r="14" spans="1:13" ht="15" x14ac:dyDescent="0.25">
      <c r="A14" s="31">
        <v>44929</v>
      </c>
      <c r="B14" s="16" t="s">
        <v>61</v>
      </c>
      <c r="C14" s="16">
        <v>50</v>
      </c>
    </row>
    <row r="15" spans="1:13" ht="15" x14ac:dyDescent="0.25">
      <c r="A15" s="31">
        <v>44930</v>
      </c>
      <c r="B15" s="16" t="s">
        <v>62</v>
      </c>
      <c r="C15" s="16">
        <v>20</v>
      </c>
    </row>
    <row r="16" spans="1:1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>
        <v>20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mergeCells count="2">
    <mergeCell ref="B6:M6"/>
    <mergeCell ref="B7:M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8" zoomScaleNormal="100" workbookViewId="0">
      <selection activeCell="H32" sqref="H32"/>
    </sheetView>
  </sheetViews>
  <sheetFormatPr defaultColWidth="11" defaultRowHeight="12.75" x14ac:dyDescent="0.2"/>
  <cols>
    <col min="1" max="1" width="28.1640625" style="2" bestFit="1" customWidth="1"/>
    <col min="2" max="2" width="11.83203125" style="2" customWidth="1"/>
    <col min="3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50" t="s">
        <v>181</v>
      </c>
      <c r="B9" s="51" t="s">
        <v>89</v>
      </c>
      <c r="C9" s="51" t="s">
        <v>90</v>
      </c>
      <c r="D9" s="51" t="s">
        <v>91</v>
      </c>
      <c r="E9" s="51" t="s">
        <v>92</v>
      </c>
      <c r="F9" s="51" t="s">
        <v>93</v>
      </c>
      <c r="G9" s="51" t="s">
        <v>94</v>
      </c>
      <c r="H9" s="51" t="s">
        <v>95</v>
      </c>
      <c r="I9" s="51" t="s">
        <v>96</v>
      </c>
      <c r="J9" s="52" t="s">
        <v>97</v>
      </c>
      <c r="M9" s="56" t="s">
        <v>43</v>
      </c>
      <c r="N9" s="57" t="s">
        <v>99</v>
      </c>
    </row>
    <row r="10" spans="1:14" ht="15" x14ac:dyDescent="0.25">
      <c r="A10" s="49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37">
        <v>525</v>
      </c>
      <c r="M10" s="8">
        <v>10100</v>
      </c>
      <c r="N10" s="7" t="s">
        <v>89</v>
      </c>
    </row>
    <row r="11" spans="1:14" ht="15" x14ac:dyDescent="0.25">
      <c r="A11" s="49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37">
        <v>430</v>
      </c>
      <c r="M11" s="8">
        <v>10102</v>
      </c>
      <c r="N11" s="7" t="s">
        <v>90</v>
      </c>
    </row>
    <row r="12" spans="1:14" ht="15" x14ac:dyDescent="0.25">
      <c r="A12" s="49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37">
        <v>400</v>
      </c>
      <c r="M12" s="8">
        <v>10104</v>
      </c>
      <c r="N12" s="7" t="s">
        <v>91</v>
      </c>
    </row>
    <row r="13" spans="1:14" ht="15" x14ac:dyDescent="0.25">
      <c r="A13" s="49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37">
        <v>340</v>
      </c>
      <c r="M13" s="8">
        <v>10106</v>
      </c>
      <c r="N13" s="7" t="s">
        <v>92</v>
      </c>
    </row>
    <row r="14" spans="1:14" ht="15" x14ac:dyDescent="0.25">
      <c r="A14" s="49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37">
        <v>270</v>
      </c>
      <c r="M14" s="8">
        <v>10108</v>
      </c>
      <c r="N14" s="7" t="s">
        <v>93</v>
      </c>
    </row>
    <row r="15" spans="1:14" ht="15" x14ac:dyDescent="0.25">
      <c r="A15" s="49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37">
        <v>220</v>
      </c>
      <c r="M15" s="8">
        <v>10110</v>
      </c>
      <c r="N15" s="7" t="s">
        <v>94</v>
      </c>
    </row>
    <row r="16" spans="1:14" ht="15" x14ac:dyDescent="0.25">
      <c r="A16" s="49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37">
        <v>105</v>
      </c>
      <c r="M16" s="8">
        <v>10112</v>
      </c>
      <c r="N16" s="7" t="s">
        <v>95</v>
      </c>
    </row>
    <row r="17" spans="1:14" ht="15" x14ac:dyDescent="0.25">
      <c r="A17" s="49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37">
        <v>40</v>
      </c>
      <c r="M17" s="8">
        <v>10114</v>
      </c>
      <c r="N17" s="7" t="s">
        <v>96</v>
      </c>
    </row>
    <row r="18" spans="1:14" ht="15" x14ac:dyDescent="0.25">
      <c r="A18" s="53" t="s">
        <v>97</v>
      </c>
      <c r="B18" s="54">
        <v>525</v>
      </c>
      <c r="C18" s="54">
        <v>430</v>
      </c>
      <c r="D18" s="54">
        <v>400</v>
      </c>
      <c r="E18" s="54">
        <v>340</v>
      </c>
      <c r="F18" s="54">
        <v>270</v>
      </c>
      <c r="G18" s="54">
        <v>220</v>
      </c>
      <c r="H18" s="54">
        <v>105</v>
      </c>
      <c r="I18" s="54">
        <v>40</v>
      </c>
      <c r="J18" s="55">
        <v>-1</v>
      </c>
      <c r="M18" s="8">
        <v>10116</v>
      </c>
      <c r="N18" s="7" t="s">
        <v>97</v>
      </c>
    </row>
    <row r="21" spans="1:14" ht="23.25" x14ac:dyDescent="0.35">
      <c r="A21" s="17" t="s">
        <v>168</v>
      </c>
    </row>
    <row r="22" spans="1:14" ht="15" x14ac:dyDescent="0.25">
      <c r="A22" s="10" t="s">
        <v>100</v>
      </c>
      <c r="B22" s="13" t="s">
        <v>101</v>
      </c>
      <c r="C22" s="10" t="s">
        <v>102</v>
      </c>
    </row>
    <row r="23" spans="1:14" ht="15" x14ac:dyDescent="0.25">
      <c r="A23" s="58">
        <v>10100</v>
      </c>
      <c r="B23" s="12">
        <v>10102</v>
      </c>
      <c r="C23" s="59"/>
    </row>
    <row r="24" spans="1:14" ht="15" x14ac:dyDescent="0.25">
      <c r="A24" s="58">
        <v>10100</v>
      </c>
      <c r="B24" s="12">
        <v>10104</v>
      </c>
      <c r="C24" s="59" t="e">
        <f>VLOOKUP(Table_C[[#This Row],[name_1]], Table_A[], MATCH(Table_C[[#This Row],[name_2]], Table_A[#Headers], 0), FALSE)</f>
        <v>#N/A</v>
      </c>
    </row>
    <row r="25" spans="1:14" ht="15" x14ac:dyDescent="0.25">
      <c r="A25" s="58">
        <v>10108</v>
      </c>
      <c r="B25" s="12">
        <v>10102</v>
      </c>
      <c r="C25" s="59" t="e">
        <f>VLOOKUP(Table_C[[#This Row],[name_1]], Table_A[], MATCH(Table_C[[#This Row],[name_2]], Table_A[#Headers], 0), FALSE)</f>
        <v>#N/A</v>
      </c>
    </row>
    <row r="26" spans="1:14" ht="15" x14ac:dyDescent="0.25">
      <c r="A26" s="58">
        <v>10100</v>
      </c>
      <c r="B26" s="12">
        <v>10106</v>
      </c>
      <c r="C26" s="59" t="e">
        <f>VLOOKUP(Table_C[[#This Row],[name_1]], Table_A[], MATCH(Table_C[[#This Row],[name_2]], Table_A[#Headers], 0), FALSE)</f>
        <v>#N/A</v>
      </c>
    </row>
    <row r="27" spans="1:14" ht="15" x14ac:dyDescent="0.25">
      <c r="A27" s="58">
        <v>10108</v>
      </c>
      <c r="B27" s="12">
        <v>10110</v>
      </c>
      <c r="C27" s="59" t="e">
        <f>VLOOKUP(Table_C[[#This Row],[name_1]], Table_A[], MATCH(Table_C[[#This Row],[name_2]], Table_A[#Headers], 0), FALSE)</f>
        <v>#N/A</v>
      </c>
    </row>
    <row r="28" spans="1:14" ht="15" x14ac:dyDescent="0.25">
      <c r="A28" s="58">
        <v>10102</v>
      </c>
      <c r="B28" s="12">
        <v>10104</v>
      </c>
      <c r="C28" s="59" t="e">
        <f>VLOOKUP(Table_C[[#This Row],[name_1]], Table_A[], MATCH(Table_C[[#This Row],[name_2]], Table_A[#Headers], 0), FALSE)</f>
        <v>#N/A</v>
      </c>
    </row>
    <row r="29" spans="1:14" ht="15" x14ac:dyDescent="0.25">
      <c r="A29" s="58">
        <v>10106</v>
      </c>
      <c r="B29" s="12">
        <v>10108</v>
      </c>
      <c r="C29" s="59" t="e">
        <f>VLOOKUP(Table_C[[#This Row],[name_1]], Table_A[], MATCH(Table_C[[#This Row],[name_2]], Table_A[#Headers], 0), FALSE)</f>
        <v>#N/A</v>
      </c>
    </row>
    <row r="30" spans="1:14" ht="15" x14ac:dyDescent="0.25">
      <c r="A30" s="58">
        <v>10102</v>
      </c>
      <c r="B30" s="12">
        <v>10106</v>
      </c>
      <c r="C30" s="59" t="e">
        <f>VLOOKUP(Table_C[[#This Row],[name_1]], Table_A[], MATCH(Table_C[[#This Row],[name_2]], Table_A[#Headers], 0), FALSE)</f>
        <v>#N/A</v>
      </c>
    </row>
    <row r="31" spans="1:14" ht="15" x14ac:dyDescent="0.25">
      <c r="A31" s="58">
        <v>10110</v>
      </c>
      <c r="B31" s="12">
        <v>10114</v>
      </c>
      <c r="C31" s="59" t="e">
        <f>VLOOKUP(Table_C[[#This Row],[name_1]], Table_A[], MATCH(Table_C[[#This Row],[name_2]], Table_A[#Headers], 0), FALSE)</f>
        <v>#N/A</v>
      </c>
    </row>
    <row r="32" spans="1:14" ht="15" x14ac:dyDescent="0.25">
      <c r="A32" s="58">
        <v>10104</v>
      </c>
      <c r="B32" s="12">
        <v>10106</v>
      </c>
      <c r="C32" s="59" t="e">
        <f>VLOOKUP(Table_C[[#This Row],[name_1]], Table_A[], MATCH(Table_C[[#This Row],[name_2]], Table_A[#Headers], 0), FALSE)</f>
        <v>#N/A</v>
      </c>
    </row>
    <row r="33" spans="1:3" ht="15" x14ac:dyDescent="0.25">
      <c r="A33" s="58">
        <v>10110</v>
      </c>
      <c r="B33" s="12">
        <v>10112</v>
      </c>
      <c r="C33" s="59" t="e">
        <f>VLOOKUP(Table_C[[#This Row],[name_1]], Table_A[], MATCH(Table_C[[#This Row],[name_2]], Table_A[#Headers], 0), FALSE)</f>
        <v>#N/A</v>
      </c>
    </row>
    <row r="34" spans="1:3" ht="15" x14ac:dyDescent="0.25">
      <c r="A34" s="58">
        <v>10100</v>
      </c>
      <c r="B34" s="12">
        <v>10114</v>
      </c>
      <c r="C34" s="59" t="e">
        <f>VLOOKUP(Table_C[[#This Row],[name_1]], Table_A[], MATCH(Table_C[[#This Row],[name_2]], Table_A[#Headers], 0), FALSE)</f>
        <v>#N/A</v>
      </c>
    </row>
    <row r="35" spans="1:3" ht="15" x14ac:dyDescent="0.25">
      <c r="A35" s="58">
        <v>10112</v>
      </c>
      <c r="B35" s="12">
        <v>10116</v>
      </c>
      <c r="C35" s="59" t="e">
        <f>VLOOKUP(Table_C[[#This Row],[name_1]], Table_A[], MATCH(Table_C[[#This Row],[name_2]], Table_A[#Headers], 0), FALSE)</f>
        <v>#N/A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Hareesh vuppalapati</cp:lastModifiedBy>
  <dcterms:created xsi:type="dcterms:W3CDTF">2015-02-10T17:33:11Z</dcterms:created>
  <dcterms:modified xsi:type="dcterms:W3CDTF">2023-12-10T15:49:18Z</dcterms:modified>
</cp:coreProperties>
</file>